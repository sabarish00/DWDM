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variance Analysis" sheetId="1" r:id="rId5"/>
    <sheet state="visible" name="2. Equal-Frequency Binning" sheetId="2" r:id="rId6"/>
    <sheet state="visible" name="3. Equal-Width Binning" sheetId="3" r:id="rId7"/>
    <sheet state="visible" name="4. Bin Medians" sheetId="4" r:id="rId8"/>
    <sheet state="visible" name="5. Standardization" sheetId="5" r:id="rId9"/>
  </sheets>
  <definedNames/>
  <calcPr/>
</workbook>
</file>

<file path=xl/sharedStrings.xml><?xml version="1.0" encoding="utf-8"?>
<sst xmlns="http://schemas.openxmlformats.org/spreadsheetml/2006/main" count="97" uniqueCount="72">
  <si>
    <t>Q2. Data Smoothing - Equal-Frequency (Equi-Depth) Binning</t>
  </si>
  <si>
    <t>Q1. Covariance Analysis - Health Insurance</t>
  </si>
  <si>
    <t>Q4. Data Reduction using Bin Medians - Medical Supply Costs</t>
  </si>
  <si>
    <t>Q3. Equal-Width Binning - BMI Risk Categorization</t>
  </si>
  <si>
    <t>Costs sorted ascending (n=27). Partitioned into 3 equal-frequency bins of 9 values each; each value replaced by its bin median.</t>
  </si>
  <si>
    <t>Sorted BMI values (n=18). Min=18.5, Max=39.5, Range=21, 3 bins -&gt; width = 21/3 = 7</t>
  </si>
  <si>
    <t>Original sorted Systolic BP data (n = 27). Partitioned into 3 equal-frequency bins of 9 values each, then smoothed by bin mean.</t>
  </si>
  <si>
    <t>Bin</t>
  </si>
  <si>
    <t>Min BMI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</si>
  <si>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</si>
  <si>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</si>
  <si>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</si>
  <si>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</si>
  <si>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</si>
  <si>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</si>
  <si>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</si>
  <si>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</si>
  <si>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</si>
  <si>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Max BMI</t>
  </si>
  <si>
    <t>Bin Median</t>
  </si>
  <si>
    <t>Number of bins</t>
  </si>
  <si>
    <t>Bin 1</t>
  </si>
  <si>
    <t>Premium Increase % (xi) and Claims per 100 Policyholders (yi)</t>
  </si>
  <si>
    <t>Bin Mean</t>
  </si>
  <si>
    <t>Bin Width</t>
  </si>
  <si>
    <t>xi (Premium % Increase)</t>
  </si>
  <si>
    <t>yi (Claims per 100)</t>
  </si>
  <si>
    <t>xi - mean(x)</t>
  </si>
  <si>
    <t>yi - mean(y)</t>
  </si>
  <si>
    <t>(xi-mean x)(yi-mean y)</t>
  </si>
  <si>
    <t>Bin 2</t>
  </si>
  <si>
    <t>Lower Boundary</t>
  </si>
  <si>
    <t>Upper Boundary</t>
  </si>
  <si>
    <t>Bin 3</t>
  </si>
  <si>
    <t>Smoothed Data (each value replaced by its Bin Median)</t>
  </si>
  <si>
    <t>Bin 1 (smoothed)</t>
  </si>
  <si>
    <t>Bin 2 (smoothed)</t>
  </si>
  <si>
    <t>Original BMI</t>
  </si>
  <si>
    <t>Smoothed Data (each value replaced by its Bin Mean)</t>
  </si>
  <si>
    <t>Assigned Bin</t>
  </si>
  <si>
    <t>Closest Boundary</t>
  </si>
  <si>
    <t>Smoothed Value</t>
  </si>
  <si>
    <t>Lower Bound</t>
  </si>
  <si>
    <t>Upper Bound</t>
  </si>
  <si>
    <t>Bin 3 (smoothed)</t>
  </si>
  <si>
    <t>Bin ranges: Bin 1 = obs 1-9, Bin 2 = obs 10-18, Bin 3 = obs 19-27 (sorted cost data).</t>
  </si>
  <si>
    <t>Mean</t>
  </si>
  <si>
    <t>Sum</t>
  </si>
  <si>
    <t>n (number of pairs)</t>
  </si>
  <si>
    <t>Mean of x</t>
  </si>
  <si>
    <t>Bin ranges: Bin 1 = obs 1-9 (110-124), Bin 2 = obs 10-18 (124-138), Bin 3 = obs 19-27 (138-180).</t>
  </si>
  <si>
    <t>Mean of y</t>
  </si>
  <si>
    <t>Covariance (population, divide by n)</t>
  </si>
  <si>
    <t>Covariance (sample, divide by n-1)</t>
  </si>
  <si>
    <t>Interpretation</t>
  </si>
  <si>
    <t>Q5. Standardization of Patient Age Data</t>
  </si>
  <si>
    <t>Insured individuals' ages (n=10)</t>
  </si>
  <si>
    <t>#</t>
  </si>
  <si>
    <t>Age (xi)</t>
  </si>
  <si>
    <t>xi - mean</t>
  </si>
  <si>
    <t>|xi - mean|</t>
  </si>
  <si>
    <t>(xi-mean)^2</t>
  </si>
  <si>
    <t>n</t>
  </si>
  <si>
    <t>(a) Sum of |xi - mean|</t>
  </si>
  <si>
    <t>(a) Mean Absolute Deviation (MAD) = Sum|xi-mean| / n</t>
  </si>
  <si>
    <t>Sum of squared deviations</t>
  </si>
  <si>
    <t>Population Variance = SumSq / n</t>
  </si>
  <si>
    <t>Population Standard Deviation = SQRT(Variance)</t>
  </si>
  <si>
    <t>(b) Z-scores for first four observations: z = (xi - mean) / SD</t>
  </si>
  <si>
    <t>SD</t>
  </si>
  <si>
    <t>Z-score</t>
  </si>
  <si>
    <t>Note: Z-score uses the population standard deviation (n in denominator), consistent with the MAD calculation above.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</si>
</sst>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"/>
  </numFmts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1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bottom" wrapText="0"/>
    </xf>
    <xf borderId="0" fillId="0" fontId="5" numFmtId="0" xfId="0" applyFont="1"/>
    <xf borderId="4" fillId="4" fontId="4" numFmtId="164" xfId="0" applyAlignment="1" applyBorder="1" applyFill="1" applyFont="1" applyNumberFormat="1">
      <alignment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4" fontId="4" numFmtId="1" xfId="0" applyAlignment="1" applyBorder="1" applyFont="1" applyNumberFormat="1">
      <alignment shrinkToFit="0" vertical="bottom" wrapText="0"/>
    </xf>
    <xf borderId="4" fillId="4" fontId="4" numFmtId="2" xfId="0" applyAlignment="1" applyBorder="1" applyFont="1" applyNumberFormat="1">
      <alignment shrinkToFit="0" vertical="bottom" wrapText="0"/>
    </xf>
    <xf borderId="4" fillId="0" fontId="6" numFmtId="165" xfId="0" applyAlignment="1" applyBorder="1" applyFont="1" applyNumberFormat="1">
      <alignment horizontal="center" shrinkToFit="0" vertical="bottom" wrapText="0"/>
    </xf>
    <xf borderId="4" fillId="0" fontId="6" numFmtId="164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4" fillId="0" fontId="6" numFmtId="1" xfId="0" applyAlignment="1" applyBorder="1" applyFont="1" applyNumberFormat="1">
      <alignment horizontal="center" shrinkToFit="0" vertical="bottom" wrapText="0"/>
    </xf>
    <xf borderId="4" fillId="0" fontId="6" numFmtId="166" xfId="0" applyAlignment="1" applyBorder="1" applyFont="1" applyNumberFormat="1">
      <alignment horizontal="center" shrinkToFit="0" vertical="bottom" wrapText="0"/>
    </xf>
    <xf borderId="5" fillId="3" fontId="4" numFmtId="0" xfId="0" applyAlignment="1" applyBorder="1" applyFont="1">
      <alignment shrinkToFit="0" vertical="bottom" wrapText="0"/>
    </xf>
    <xf borderId="4" fillId="0" fontId="6" numFmtId="2" xfId="0" applyAlignment="1" applyBorder="1" applyFont="1" applyNumberForma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4" fillId="4" fontId="4" numFmtId="165" xfId="0" applyAlignment="1" applyBorder="1" applyFont="1" applyNumberFormat="1">
      <alignment shrinkToFit="0" vertical="bottom" wrapText="0"/>
    </xf>
    <xf borderId="4" fillId="4" fontId="4" numFmtId="166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16.0"/>
    <col customWidth="1" min="3" max="3" width="22.0"/>
    <col customWidth="1" min="4" max="5" width="16.0"/>
    <col customWidth="1" min="6" max="6" width="28.29"/>
    <col customWidth="1" min="7" max="26" width="8.71"/>
  </cols>
  <sheetData>
    <row r="1" ht="25.5" customHeight="1">
      <c r="A1" s="1" t="s">
        <v>1</v>
      </c>
      <c r="B1" s="2"/>
      <c r="C1" s="2"/>
      <c r="D1" s="2"/>
      <c r="E1" s="2"/>
      <c r="F1" s="3"/>
    </row>
    <row r="3">
      <c r="A3" s="5" t="s">
        <v>22</v>
      </c>
    </row>
    <row r="4" ht="15.75" customHeight="1"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</row>
    <row r="5" ht="15.75" customHeight="1">
      <c r="B5" s="9">
        <v>3.2</v>
      </c>
      <c r="C5" s="9">
        <v>15.0</v>
      </c>
      <c r="D5" s="13">
        <f t="shared" ref="D5:D8" si="1">B5-$B$10</f>
        <v>-1.175</v>
      </c>
      <c r="E5" s="13">
        <f t="shared" ref="E5:E8" si="2">C5-$C$10</f>
        <v>-4.5</v>
      </c>
      <c r="F5" s="17">
        <f t="shared" ref="F5:F8" si="3">D5*E5</f>
        <v>5.2875</v>
      </c>
    </row>
    <row r="6" ht="15.75" customHeight="1">
      <c r="B6" s="9">
        <v>4.0</v>
      </c>
      <c r="C6" s="9">
        <v>18.0</v>
      </c>
      <c r="D6" s="13">
        <f t="shared" si="1"/>
        <v>-0.375</v>
      </c>
      <c r="E6" s="13">
        <f t="shared" si="2"/>
        <v>-1.5</v>
      </c>
      <c r="F6" s="17">
        <f t="shared" si="3"/>
        <v>0.5625</v>
      </c>
    </row>
    <row r="7" ht="15.75" customHeight="1">
      <c r="B7" s="9">
        <v>5.5</v>
      </c>
      <c r="C7" s="9">
        <v>25.0</v>
      </c>
      <c r="D7" s="13">
        <f t="shared" si="1"/>
        <v>1.125</v>
      </c>
      <c r="E7" s="13">
        <f t="shared" si="2"/>
        <v>5.5</v>
      </c>
      <c r="F7" s="17">
        <f t="shared" si="3"/>
        <v>6.1875</v>
      </c>
    </row>
    <row r="8" ht="15.75" customHeight="1">
      <c r="B8" s="9">
        <v>4.8</v>
      </c>
      <c r="C8" s="9">
        <v>20.0</v>
      </c>
      <c r="D8" s="13">
        <f t="shared" si="1"/>
        <v>0.425</v>
      </c>
      <c r="E8" s="13">
        <f t="shared" si="2"/>
        <v>0.5</v>
      </c>
      <c r="F8" s="17">
        <f t="shared" si="3"/>
        <v>0.2125</v>
      </c>
    </row>
    <row r="9" ht="15.75" customHeight="1"/>
    <row r="10" ht="15.75" customHeight="1">
      <c r="A10" s="9" t="s">
        <v>46</v>
      </c>
      <c r="B10" s="13">
        <f t="shared" ref="B10:C10" si="4">AVERAGE(B5:B8)</f>
        <v>4.375</v>
      </c>
      <c r="C10" s="13">
        <f t="shared" si="4"/>
        <v>19.5</v>
      </c>
    </row>
    <row r="11" ht="15.75" customHeight="1">
      <c r="A11" s="9" t="s">
        <v>47</v>
      </c>
      <c r="F11" s="17">
        <f>SUM(F5:F8)</f>
        <v>12.25</v>
      </c>
    </row>
    <row r="13">
      <c r="A13" s="7" t="s">
        <v>48</v>
      </c>
      <c r="B13" s="10">
        <f>COUNT(B5:B8)</f>
        <v>4</v>
      </c>
    </row>
    <row r="14">
      <c r="A14" s="7" t="s">
        <v>49</v>
      </c>
      <c r="B14" s="21">
        <f>B10</f>
        <v>4.375</v>
      </c>
    </row>
    <row r="15">
      <c r="A15" s="7" t="s">
        <v>51</v>
      </c>
      <c r="B15" s="21">
        <f>C10</f>
        <v>19.5</v>
      </c>
    </row>
    <row r="17">
      <c r="A17" s="7" t="s">
        <v>52</v>
      </c>
      <c r="B17" s="22">
        <f>F11/B13</f>
        <v>3.0625</v>
      </c>
    </row>
    <row r="18">
      <c r="A18" s="7" t="s">
        <v>53</v>
      </c>
      <c r="B18" s="22">
        <f>F11/(B13-1)</f>
        <v>4.083333333</v>
      </c>
    </row>
    <row r="20" ht="30.0" customHeight="1">
      <c r="A20" s="15" t="s">
        <v>54</v>
      </c>
      <c r="B20" s="23" t="str">
        <f>IF(B17&gt;0,"Positive relationship: as premium increase % rises, claims per 100 policyholders also tend to rise.",IF(B17&lt;0,"Inverse relationship.","No linear relationship."))</f>
        <v>Positive relationship: as premium increase % rises, claims per 100 policyholders also tend to rise.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B20:F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14"/>
    <col customWidth="1" min="2" max="2" width="11.57"/>
    <col customWidth="1" min="3" max="3" width="12.0"/>
    <col customWidth="1" min="4" max="4" width="14.71"/>
    <col customWidth="1" min="5" max="5" width="10.29"/>
    <col customWidth="1" min="6" max="6" width="11.14"/>
    <col customWidth="1" min="7" max="7" width="11.57"/>
    <col customWidth="1" min="8" max="8" width="8.86"/>
    <col customWidth="1" min="9" max="9" width="10.14"/>
    <col customWidth="1" min="10" max="10" width="8.86"/>
    <col customWidth="1" min="11" max="11" width="12.43"/>
    <col customWidth="1" min="12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27.75" customHeight="1">
      <c r="A3" s="4" t="s">
        <v>6</v>
      </c>
    </row>
    <row r="5">
      <c r="A5" s="6" t="s">
        <v>7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23</v>
      </c>
    </row>
    <row r="6">
      <c r="A6" s="9" t="s">
        <v>21</v>
      </c>
      <c r="B6" s="9">
        <v>110.0</v>
      </c>
      <c r="C6" s="9">
        <v>112.0</v>
      </c>
      <c r="D6" s="9">
        <v>115.0</v>
      </c>
      <c r="E6" s="9">
        <v>115.0</v>
      </c>
      <c r="F6" s="9">
        <v>118.0</v>
      </c>
      <c r="G6" s="9">
        <v>120.0</v>
      </c>
      <c r="H6" s="9">
        <v>120.0</v>
      </c>
      <c r="I6" s="9">
        <v>122.0</v>
      </c>
      <c r="J6" s="9">
        <v>124.0</v>
      </c>
      <c r="K6" s="12">
        <f t="shared" ref="K6:K8" si="1">AVERAGE(B6:J6)</f>
        <v>117.3333333</v>
      </c>
    </row>
    <row r="7">
      <c r="A7" s="9" t="s">
        <v>30</v>
      </c>
      <c r="B7" s="9">
        <v>124.0</v>
      </c>
      <c r="C7" s="9">
        <v>126.0</v>
      </c>
      <c r="D7" s="9">
        <v>126.0</v>
      </c>
      <c r="E7" s="9">
        <v>126.0</v>
      </c>
      <c r="F7" s="9">
        <v>126.0</v>
      </c>
      <c r="G7" s="9">
        <v>130.0</v>
      </c>
      <c r="H7" s="9">
        <v>135.0</v>
      </c>
      <c r="I7" s="9">
        <v>135.0</v>
      </c>
      <c r="J7" s="9">
        <v>138.0</v>
      </c>
      <c r="K7" s="12">
        <f t="shared" si="1"/>
        <v>129.5555556</v>
      </c>
    </row>
    <row r="8">
      <c r="A8" s="9" t="s">
        <v>33</v>
      </c>
      <c r="B8" s="9">
        <v>138.0</v>
      </c>
      <c r="C8" s="9">
        <v>138.0</v>
      </c>
      <c r="D8" s="9">
        <v>138.0</v>
      </c>
      <c r="E8" s="9">
        <v>140.0</v>
      </c>
      <c r="F8" s="9">
        <v>145.0</v>
      </c>
      <c r="G8" s="9">
        <v>150.0</v>
      </c>
      <c r="H8" s="9">
        <v>152.0</v>
      </c>
      <c r="I8" s="9">
        <v>160.0</v>
      </c>
      <c r="J8" s="9">
        <v>180.0</v>
      </c>
      <c r="K8" s="12">
        <f t="shared" si="1"/>
        <v>149</v>
      </c>
    </row>
    <row r="10">
      <c r="A10" s="15" t="s">
        <v>23</v>
      </c>
    </row>
    <row r="11">
      <c r="A11" s="15" t="s">
        <v>38</v>
      </c>
    </row>
    <row r="12">
      <c r="A12" s="9" t="s">
        <v>35</v>
      </c>
      <c r="B12" s="19">
        <f t="shared" ref="B12:J12" si="2">$K$6</f>
        <v>117.3333333</v>
      </c>
      <c r="C12" s="19">
        <f t="shared" si="2"/>
        <v>117.3333333</v>
      </c>
      <c r="D12" s="19">
        <f t="shared" si="2"/>
        <v>117.3333333</v>
      </c>
      <c r="E12" s="19">
        <f t="shared" si="2"/>
        <v>117.3333333</v>
      </c>
      <c r="F12" s="19">
        <f t="shared" si="2"/>
        <v>117.3333333</v>
      </c>
      <c r="G12" s="19">
        <f t="shared" si="2"/>
        <v>117.3333333</v>
      </c>
      <c r="H12" s="19">
        <f t="shared" si="2"/>
        <v>117.3333333</v>
      </c>
      <c r="I12" s="19">
        <f t="shared" si="2"/>
        <v>117.3333333</v>
      </c>
      <c r="J12" s="19">
        <f t="shared" si="2"/>
        <v>117.3333333</v>
      </c>
    </row>
    <row r="13">
      <c r="A13" s="9" t="s">
        <v>36</v>
      </c>
      <c r="B13" s="19">
        <f t="shared" ref="B13:J13" si="3">$K$7</f>
        <v>129.5555556</v>
      </c>
      <c r="C13" s="19">
        <f t="shared" si="3"/>
        <v>129.5555556</v>
      </c>
      <c r="D13" s="19">
        <f t="shared" si="3"/>
        <v>129.5555556</v>
      </c>
      <c r="E13" s="19">
        <f t="shared" si="3"/>
        <v>129.5555556</v>
      </c>
      <c r="F13" s="19">
        <f t="shared" si="3"/>
        <v>129.5555556</v>
      </c>
      <c r="G13" s="19">
        <f t="shared" si="3"/>
        <v>129.5555556</v>
      </c>
      <c r="H13" s="19">
        <f t="shared" si="3"/>
        <v>129.5555556</v>
      </c>
      <c r="I13" s="19">
        <f t="shared" si="3"/>
        <v>129.5555556</v>
      </c>
      <c r="J13" s="19">
        <f t="shared" si="3"/>
        <v>129.5555556</v>
      </c>
    </row>
    <row r="14">
      <c r="A14" s="9" t="s">
        <v>44</v>
      </c>
      <c r="B14" s="19">
        <f t="shared" ref="B14:J14" si="4">$K$8</f>
        <v>149</v>
      </c>
      <c r="C14" s="19">
        <f t="shared" si="4"/>
        <v>149</v>
      </c>
      <c r="D14" s="19">
        <f t="shared" si="4"/>
        <v>149</v>
      </c>
      <c r="E14" s="19">
        <f t="shared" si="4"/>
        <v>149</v>
      </c>
      <c r="F14" s="19">
        <f t="shared" si="4"/>
        <v>149</v>
      </c>
      <c r="G14" s="19">
        <f t="shared" si="4"/>
        <v>149</v>
      </c>
      <c r="H14" s="19">
        <f t="shared" si="4"/>
        <v>149</v>
      </c>
      <c r="I14" s="19">
        <f t="shared" si="4"/>
        <v>149</v>
      </c>
      <c r="J14" s="19">
        <f t="shared" si="4"/>
        <v>149</v>
      </c>
    </row>
    <row r="17">
      <c r="A17" s="20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3:J3"/>
    <mergeCell ref="A11:J11"/>
    <mergeCell ref="A17:J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43"/>
    <col customWidth="1" min="3" max="3" width="22.43"/>
    <col customWidth="1" min="4" max="4" width="18.57"/>
    <col customWidth="1" min="5" max="5" width="18.43"/>
    <col customWidth="1" min="6" max="6" width="16.0"/>
    <col customWidth="1" min="7" max="8" width="6.0"/>
    <col customWidth="1" min="9" max="26" width="8.71"/>
  </cols>
  <sheetData>
    <row r="1" ht="25.5" customHeight="1">
      <c r="A1" s="1" t="s">
        <v>3</v>
      </c>
      <c r="B1" s="2"/>
      <c r="C1" s="2"/>
      <c r="D1" s="2"/>
      <c r="E1" s="2"/>
      <c r="F1" s="2"/>
      <c r="G1" s="2"/>
      <c r="H1" s="3"/>
    </row>
    <row r="3">
      <c r="A3" s="5" t="s">
        <v>5</v>
      </c>
    </row>
    <row r="5">
      <c r="A5" s="7" t="s">
        <v>8</v>
      </c>
      <c r="B5" s="8">
        <v>18.5</v>
      </c>
    </row>
    <row r="6">
      <c r="A6" s="7" t="s">
        <v>18</v>
      </c>
      <c r="B6" s="8">
        <v>39.5</v>
      </c>
    </row>
    <row r="7">
      <c r="A7" s="7" t="s">
        <v>20</v>
      </c>
      <c r="B7" s="10">
        <v>3.0</v>
      </c>
    </row>
    <row r="8">
      <c r="A8" s="7" t="s">
        <v>24</v>
      </c>
      <c r="B8" s="12">
        <f>ROUND((B6-B5)/B7,2)</f>
        <v>7</v>
      </c>
    </row>
    <row r="10">
      <c r="A10" s="6" t="s">
        <v>7</v>
      </c>
      <c r="B10" s="6" t="s">
        <v>31</v>
      </c>
      <c r="C10" s="6" t="s">
        <v>32</v>
      </c>
    </row>
    <row r="11">
      <c r="A11" s="9" t="s">
        <v>21</v>
      </c>
      <c r="B11" s="14">
        <f>$B$5+(0)*$B$8</f>
        <v>18.5</v>
      </c>
      <c r="C11" s="14">
        <f>$B$5+(1)*$B$8</f>
        <v>25.5</v>
      </c>
    </row>
    <row r="12">
      <c r="A12" s="9" t="s">
        <v>30</v>
      </c>
      <c r="B12" s="14">
        <f>$B$5+(1)*$B$8</f>
        <v>25.5</v>
      </c>
      <c r="C12" s="14">
        <f>$B$5+(2)*$B$8</f>
        <v>32.5</v>
      </c>
    </row>
    <row r="13">
      <c r="A13" s="9" t="s">
        <v>33</v>
      </c>
      <c r="B13" s="14">
        <f>$B$5+(2)*$B$8</f>
        <v>32.5</v>
      </c>
      <c r="C13" s="14">
        <f>$B$5+(3)*$B$8</f>
        <v>39.5</v>
      </c>
    </row>
    <row r="15">
      <c r="A15" s="6" t="s">
        <v>37</v>
      </c>
      <c r="B15" s="6" t="s">
        <v>39</v>
      </c>
      <c r="C15" s="6" t="s">
        <v>40</v>
      </c>
      <c r="D15" s="6" t="s">
        <v>41</v>
      </c>
      <c r="E15" s="18" t="s">
        <v>42</v>
      </c>
      <c r="F15" s="18" t="s">
        <v>43</v>
      </c>
    </row>
    <row r="16">
      <c r="A16" s="9">
        <v>18.5</v>
      </c>
      <c r="B16" s="9" t="str">
        <f t="shared" ref="B16:B33" si="1">IF(A16&lt;$C$11,"Bin 1",IF(A16&lt;$C$12,"Bin 2","Bin 3"))</f>
        <v>Bin 1</v>
      </c>
      <c r="C16" s="14">
        <f t="shared" ref="C16:C33" si="2">IF(ABS(A16-E16)&lt;=ABS(A16-F16),E16,F16)</f>
        <v>18.5</v>
      </c>
      <c r="D16" s="14">
        <f t="shared" ref="D16:D33" si="3">C16</f>
        <v>18.5</v>
      </c>
      <c r="E16" s="14">
        <f t="shared" ref="E16:E33" si="4">IF(B16="Bin 1",$B$11,IF(B16="Bin 2",$B$12,$B$13))</f>
        <v>18.5</v>
      </c>
      <c r="F16" s="14">
        <f t="shared" ref="F16:F33" si="5">IF(B16="Bin 1",$C$11,IF(B16="Bin 2",$C$12,$C$13))</f>
        <v>25.5</v>
      </c>
    </row>
    <row r="17">
      <c r="A17" s="9">
        <v>19.2</v>
      </c>
      <c r="B17" s="9" t="str">
        <f t="shared" si="1"/>
        <v>Bin 1</v>
      </c>
      <c r="C17" s="14">
        <f t="shared" si="2"/>
        <v>18.5</v>
      </c>
      <c r="D17" s="14">
        <f t="shared" si="3"/>
        <v>18.5</v>
      </c>
      <c r="E17" s="14">
        <f t="shared" si="4"/>
        <v>18.5</v>
      </c>
      <c r="F17" s="14">
        <f t="shared" si="5"/>
        <v>25.5</v>
      </c>
    </row>
    <row r="18">
      <c r="A18" s="9">
        <v>21.8</v>
      </c>
      <c r="B18" s="9" t="str">
        <f t="shared" si="1"/>
        <v>Bin 1</v>
      </c>
      <c r="C18" s="14">
        <f t="shared" si="2"/>
        <v>18.5</v>
      </c>
      <c r="D18" s="14">
        <f t="shared" si="3"/>
        <v>18.5</v>
      </c>
      <c r="E18" s="14">
        <f t="shared" si="4"/>
        <v>18.5</v>
      </c>
      <c r="F18" s="14">
        <f t="shared" si="5"/>
        <v>25.5</v>
      </c>
    </row>
    <row r="19">
      <c r="A19" s="9">
        <v>24.9</v>
      </c>
      <c r="B19" s="9" t="str">
        <f t="shared" si="1"/>
        <v>Bin 1</v>
      </c>
      <c r="C19" s="14">
        <f t="shared" si="2"/>
        <v>25.5</v>
      </c>
      <c r="D19" s="14">
        <f t="shared" si="3"/>
        <v>25.5</v>
      </c>
      <c r="E19" s="14">
        <f t="shared" si="4"/>
        <v>18.5</v>
      </c>
      <c r="F19" s="14">
        <f t="shared" si="5"/>
        <v>25.5</v>
      </c>
    </row>
    <row r="20">
      <c r="A20" s="9">
        <v>25.5</v>
      </c>
      <c r="B20" s="9" t="str">
        <f t="shared" si="1"/>
        <v>Bin 2</v>
      </c>
      <c r="C20" s="14">
        <f t="shared" si="2"/>
        <v>25.5</v>
      </c>
      <c r="D20" s="14">
        <f t="shared" si="3"/>
        <v>25.5</v>
      </c>
      <c r="E20" s="14">
        <f t="shared" si="4"/>
        <v>25.5</v>
      </c>
      <c r="F20" s="14">
        <f t="shared" si="5"/>
        <v>32.5</v>
      </c>
    </row>
    <row r="21" ht="15.75" customHeight="1">
      <c r="A21" s="9">
        <v>26.2</v>
      </c>
      <c r="B21" s="9" t="str">
        <f t="shared" si="1"/>
        <v>Bin 2</v>
      </c>
      <c r="C21" s="14">
        <f t="shared" si="2"/>
        <v>25.5</v>
      </c>
      <c r="D21" s="14">
        <f t="shared" si="3"/>
        <v>25.5</v>
      </c>
      <c r="E21" s="14">
        <f t="shared" si="4"/>
        <v>25.5</v>
      </c>
      <c r="F21" s="14">
        <f t="shared" si="5"/>
        <v>32.5</v>
      </c>
    </row>
    <row r="22" ht="15.75" customHeight="1">
      <c r="A22" s="9">
        <v>26.4</v>
      </c>
      <c r="B22" s="9" t="str">
        <f t="shared" si="1"/>
        <v>Bin 2</v>
      </c>
      <c r="C22" s="14">
        <f t="shared" si="2"/>
        <v>25.5</v>
      </c>
      <c r="D22" s="14">
        <f t="shared" si="3"/>
        <v>25.5</v>
      </c>
      <c r="E22" s="14">
        <f t="shared" si="4"/>
        <v>25.5</v>
      </c>
      <c r="F22" s="14">
        <f t="shared" si="5"/>
        <v>32.5</v>
      </c>
    </row>
    <row r="23" ht="15.75" customHeight="1">
      <c r="A23" s="9">
        <v>27.8</v>
      </c>
      <c r="B23" s="9" t="str">
        <f t="shared" si="1"/>
        <v>Bin 2</v>
      </c>
      <c r="C23" s="14">
        <f t="shared" si="2"/>
        <v>25.5</v>
      </c>
      <c r="D23" s="14">
        <f t="shared" si="3"/>
        <v>25.5</v>
      </c>
      <c r="E23" s="14">
        <f t="shared" si="4"/>
        <v>25.5</v>
      </c>
      <c r="F23" s="14">
        <f t="shared" si="5"/>
        <v>32.5</v>
      </c>
    </row>
    <row r="24" ht="15.75" customHeight="1">
      <c r="A24" s="9">
        <v>29.2</v>
      </c>
      <c r="B24" s="9" t="str">
        <f t="shared" si="1"/>
        <v>Bin 2</v>
      </c>
      <c r="C24" s="14">
        <f t="shared" si="2"/>
        <v>32.5</v>
      </c>
      <c r="D24" s="14">
        <f t="shared" si="3"/>
        <v>32.5</v>
      </c>
      <c r="E24" s="14">
        <f t="shared" si="4"/>
        <v>25.5</v>
      </c>
      <c r="F24" s="14">
        <f t="shared" si="5"/>
        <v>32.5</v>
      </c>
    </row>
    <row r="25" ht="15.75" customHeight="1">
      <c r="A25" s="9">
        <v>30.2</v>
      </c>
      <c r="B25" s="9" t="str">
        <f t="shared" si="1"/>
        <v>Bin 2</v>
      </c>
      <c r="C25" s="14">
        <f t="shared" si="2"/>
        <v>32.5</v>
      </c>
      <c r="D25" s="14">
        <f t="shared" si="3"/>
        <v>32.5</v>
      </c>
      <c r="E25" s="14">
        <f t="shared" si="4"/>
        <v>25.5</v>
      </c>
      <c r="F25" s="14">
        <f t="shared" si="5"/>
        <v>32.5</v>
      </c>
    </row>
    <row r="26" ht="15.75" customHeight="1">
      <c r="A26" s="9">
        <v>30.4</v>
      </c>
      <c r="B26" s="9" t="str">
        <f t="shared" si="1"/>
        <v>Bin 2</v>
      </c>
      <c r="C26" s="14">
        <f t="shared" si="2"/>
        <v>32.5</v>
      </c>
      <c r="D26" s="14">
        <f t="shared" si="3"/>
        <v>32.5</v>
      </c>
      <c r="E26" s="14">
        <f t="shared" si="4"/>
        <v>25.5</v>
      </c>
      <c r="F26" s="14">
        <f t="shared" si="5"/>
        <v>32.5</v>
      </c>
    </row>
    <row r="27" ht="15.75" customHeight="1">
      <c r="A27" s="9">
        <v>31.9</v>
      </c>
      <c r="B27" s="9" t="str">
        <f t="shared" si="1"/>
        <v>Bin 2</v>
      </c>
      <c r="C27" s="14">
        <f t="shared" si="2"/>
        <v>32.5</v>
      </c>
      <c r="D27" s="14">
        <f t="shared" si="3"/>
        <v>32.5</v>
      </c>
      <c r="E27" s="14">
        <f t="shared" si="4"/>
        <v>25.5</v>
      </c>
      <c r="F27" s="14">
        <f t="shared" si="5"/>
        <v>32.5</v>
      </c>
    </row>
    <row r="28" ht="15.75" customHeight="1">
      <c r="A28" s="9">
        <v>32.4</v>
      </c>
      <c r="B28" s="9" t="str">
        <f t="shared" si="1"/>
        <v>Bin 2</v>
      </c>
      <c r="C28" s="14">
        <f t="shared" si="2"/>
        <v>32.5</v>
      </c>
      <c r="D28" s="14">
        <f t="shared" si="3"/>
        <v>32.5</v>
      </c>
      <c r="E28" s="14">
        <f t="shared" si="4"/>
        <v>25.5</v>
      </c>
      <c r="F28" s="14">
        <f t="shared" si="5"/>
        <v>32.5</v>
      </c>
    </row>
    <row r="29" ht="15.75" customHeight="1">
      <c r="A29" s="9">
        <v>33.1</v>
      </c>
      <c r="B29" s="9" t="str">
        <f t="shared" si="1"/>
        <v>Bin 3</v>
      </c>
      <c r="C29" s="14">
        <f t="shared" si="2"/>
        <v>32.5</v>
      </c>
      <c r="D29" s="14">
        <f t="shared" si="3"/>
        <v>32.5</v>
      </c>
      <c r="E29" s="14">
        <f t="shared" si="4"/>
        <v>32.5</v>
      </c>
      <c r="F29" s="14">
        <f t="shared" si="5"/>
        <v>39.5</v>
      </c>
    </row>
    <row r="30" ht="15.75" customHeight="1">
      <c r="A30" s="9">
        <v>33.6</v>
      </c>
      <c r="B30" s="9" t="str">
        <f t="shared" si="1"/>
        <v>Bin 3</v>
      </c>
      <c r="C30" s="14">
        <f t="shared" si="2"/>
        <v>32.5</v>
      </c>
      <c r="D30" s="14">
        <f t="shared" si="3"/>
        <v>32.5</v>
      </c>
      <c r="E30" s="14">
        <f t="shared" si="4"/>
        <v>32.5</v>
      </c>
      <c r="F30" s="14">
        <f t="shared" si="5"/>
        <v>39.5</v>
      </c>
    </row>
    <row r="31" ht="15.75" customHeight="1">
      <c r="A31" s="9">
        <v>34.7</v>
      </c>
      <c r="B31" s="9" t="str">
        <f t="shared" si="1"/>
        <v>Bin 3</v>
      </c>
      <c r="C31" s="14">
        <f t="shared" si="2"/>
        <v>32.5</v>
      </c>
      <c r="D31" s="14">
        <f t="shared" si="3"/>
        <v>32.5</v>
      </c>
      <c r="E31" s="14">
        <f t="shared" si="4"/>
        <v>32.5</v>
      </c>
      <c r="F31" s="14">
        <f t="shared" si="5"/>
        <v>39.5</v>
      </c>
    </row>
    <row r="32" ht="15.75" customHeight="1">
      <c r="A32" s="9">
        <v>38.2</v>
      </c>
      <c r="B32" s="9" t="str">
        <f t="shared" si="1"/>
        <v>Bin 3</v>
      </c>
      <c r="C32" s="14">
        <f t="shared" si="2"/>
        <v>39.5</v>
      </c>
      <c r="D32" s="14">
        <f t="shared" si="3"/>
        <v>39.5</v>
      </c>
      <c r="E32" s="14">
        <f t="shared" si="4"/>
        <v>32.5</v>
      </c>
      <c r="F32" s="14">
        <f t="shared" si="5"/>
        <v>39.5</v>
      </c>
    </row>
    <row r="33" ht="15.75" customHeight="1">
      <c r="A33" s="9">
        <v>39.5</v>
      </c>
      <c r="B33" s="9" t="str">
        <f t="shared" si="1"/>
        <v>Bin 3</v>
      </c>
      <c r="C33" s="14">
        <f t="shared" si="2"/>
        <v>39.5</v>
      </c>
      <c r="D33" s="14">
        <f t="shared" si="3"/>
        <v>39.5</v>
      </c>
      <c r="E33" s="14">
        <f t="shared" si="4"/>
        <v>32.5</v>
      </c>
      <c r="F33" s="14">
        <f t="shared" si="5"/>
        <v>39.5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7.86"/>
    <col customWidth="1" min="3" max="4" width="17.14"/>
    <col customWidth="1" min="5" max="5" width="20.86"/>
    <col customWidth="1" min="6" max="6" width="14.43"/>
    <col customWidth="1" min="7" max="7" width="14.0"/>
    <col customWidth="1" min="8" max="8" width="9.71"/>
    <col customWidth="1" min="9" max="9" width="12.0"/>
    <col customWidth="1" min="10" max="10" width="10.29"/>
    <col customWidth="1" min="11" max="11" width="12.71"/>
    <col customWidth="1" min="12" max="26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</row>
    <row r="3" ht="27.75" customHeight="1">
      <c r="A3" s="4" t="s">
        <v>4</v>
      </c>
    </row>
    <row r="5">
      <c r="A5" s="6" t="s">
        <v>7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19</v>
      </c>
    </row>
    <row r="6">
      <c r="A6" s="9" t="s">
        <v>21</v>
      </c>
      <c r="B6" s="9">
        <v>120.0</v>
      </c>
      <c r="C6" s="9">
        <v>140.0</v>
      </c>
      <c r="D6" s="9">
        <v>145.0</v>
      </c>
      <c r="E6" s="9">
        <v>145.0</v>
      </c>
      <c r="F6" s="9">
        <v>148.0</v>
      </c>
      <c r="G6" s="9">
        <v>150.0</v>
      </c>
      <c r="H6" s="9">
        <v>150.0</v>
      </c>
      <c r="I6" s="9">
        <v>150.0</v>
      </c>
      <c r="J6" s="9">
        <v>155.0</v>
      </c>
      <c r="K6" s="11">
        <f t="shared" ref="K6:K8" si="1">MEDIAN(B6:J6)</f>
        <v>148</v>
      </c>
    </row>
    <row r="7">
      <c r="A7" s="9" t="s">
        <v>30</v>
      </c>
      <c r="B7" s="9">
        <v>155.0</v>
      </c>
      <c r="C7" s="9">
        <v>155.0</v>
      </c>
      <c r="D7" s="9">
        <v>155.0</v>
      </c>
      <c r="E7" s="9">
        <v>160.0</v>
      </c>
      <c r="F7" s="9">
        <v>160.0</v>
      </c>
      <c r="G7" s="9">
        <v>165.0</v>
      </c>
      <c r="H7" s="9">
        <v>170.0</v>
      </c>
      <c r="I7" s="9">
        <v>170.0</v>
      </c>
      <c r="J7" s="9">
        <v>175.0</v>
      </c>
      <c r="K7" s="11">
        <f t="shared" si="1"/>
        <v>160</v>
      </c>
    </row>
    <row r="8">
      <c r="A8" s="9" t="s">
        <v>33</v>
      </c>
      <c r="B8" s="9">
        <v>175.0</v>
      </c>
      <c r="C8" s="9">
        <v>175.0</v>
      </c>
      <c r="D8" s="9">
        <v>175.0</v>
      </c>
      <c r="E8" s="9">
        <v>180.0</v>
      </c>
      <c r="F8" s="9">
        <v>190.0</v>
      </c>
      <c r="G8" s="9">
        <v>200.0</v>
      </c>
      <c r="H8" s="9">
        <v>210.0</v>
      </c>
      <c r="I8" s="9">
        <v>230.0</v>
      </c>
      <c r="J8" s="9">
        <v>300.0</v>
      </c>
      <c r="K8" s="11">
        <f t="shared" si="1"/>
        <v>190</v>
      </c>
    </row>
    <row r="10">
      <c r="A10" s="15" t="s">
        <v>34</v>
      </c>
    </row>
    <row r="11">
      <c r="A11" s="9" t="s">
        <v>35</v>
      </c>
      <c r="B11" s="16">
        <f t="shared" ref="B11:J11" si="2">$K$6</f>
        <v>148</v>
      </c>
      <c r="C11" s="16">
        <f t="shared" si="2"/>
        <v>148</v>
      </c>
      <c r="D11" s="16">
        <f t="shared" si="2"/>
        <v>148</v>
      </c>
      <c r="E11" s="16">
        <f t="shared" si="2"/>
        <v>148</v>
      </c>
      <c r="F11" s="16">
        <f t="shared" si="2"/>
        <v>148</v>
      </c>
      <c r="G11" s="16">
        <f t="shared" si="2"/>
        <v>148</v>
      </c>
      <c r="H11" s="16">
        <f t="shared" si="2"/>
        <v>148</v>
      </c>
      <c r="I11" s="16">
        <f t="shared" si="2"/>
        <v>148</v>
      </c>
      <c r="J11" s="16">
        <f t="shared" si="2"/>
        <v>148</v>
      </c>
    </row>
    <row r="12">
      <c r="A12" s="9" t="s">
        <v>36</v>
      </c>
      <c r="B12" s="16">
        <f t="shared" ref="B12:J12" si="3">$K$7</f>
        <v>160</v>
      </c>
      <c r="C12" s="16">
        <f t="shared" si="3"/>
        <v>160</v>
      </c>
      <c r="D12" s="16">
        <f t="shared" si="3"/>
        <v>160</v>
      </c>
      <c r="E12" s="16">
        <f t="shared" si="3"/>
        <v>160</v>
      </c>
      <c r="F12" s="16">
        <f t="shared" si="3"/>
        <v>160</v>
      </c>
      <c r="G12" s="16">
        <f t="shared" si="3"/>
        <v>160</v>
      </c>
      <c r="H12" s="16">
        <f t="shared" si="3"/>
        <v>160</v>
      </c>
      <c r="I12" s="16">
        <f t="shared" si="3"/>
        <v>160</v>
      </c>
      <c r="J12" s="16">
        <f t="shared" si="3"/>
        <v>160</v>
      </c>
    </row>
    <row r="13">
      <c r="A13" s="9" t="s">
        <v>44</v>
      </c>
      <c r="B13" s="16">
        <f t="shared" ref="B13:J13" si="4">$K$8</f>
        <v>190</v>
      </c>
      <c r="C13" s="16">
        <f t="shared" si="4"/>
        <v>190</v>
      </c>
      <c r="D13" s="16">
        <f t="shared" si="4"/>
        <v>190</v>
      </c>
      <c r="E13" s="16">
        <f t="shared" si="4"/>
        <v>190</v>
      </c>
      <c r="F13" s="16">
        <f t="shared" si="4"/>
        <v>190</v>
      </c>
      <c r="G13" s="16">
        <f t="shared" si="4"/>
        <v>190</v>
      </c>
      <c r="H13" s="16">
        <f t="shared" si="4"/>
        <v>190</v>
      </c>
      <c r="I13" s="16">
        <f t="shared" si="4"/>
        <v>190</v>
      </c>
      <c r="J13" s="16">
        <f t="shared" si="4"/>
        <v>190</v>
      </c>
    </row>
    <row r="16">
      <c r="A16" s="20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3:J3"/>
    <mergeCell ref="A10:J10"/>
    <mergeCell ref="A16:J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12.0"/>
    <col customWidth="1" min="3" max="5" width="16.0"/>
    <col customWidth="1" min="6" max="26" width="8.71"/>
  </cols>
  <sheetData>
    <row r="1" ht="25.5" customHeight="1">
      <c r="A1" s="1" t="s">
        <v>55</v>
      </c>
      <c r="B1" s="2"/>
      <c r="C1" s="2"/>
      <c r="D1" s="2"/>
      <c r="E1" s="3"/>
    </row>
    <row r="3">
      <c r="A3" s="5" t="s">
        <v>56</v>
      </c>
    </row>
    <row r="5">
      <c r="A5" s="6" t="s">
        <v>57</v>
      </c>
      <c r="B5" s="6" t="s">
        <v>58</v>
      </c>
      <c r="C5" s="6" t="s">
        <v>59</v>
      </c>
      <c r="D5" s="6" t="s">
        <v>60</v>
      </c>
      <c r="E5" s="6" t="s">
        <v>61</v>
      </c>
    </row>
    <row r="6">
      <c r="A6" s="9">
        <v>1.0</v>
      </c>
      <c r="B6" s="9">
        <v>18.0</v>
      </c>
      <c r="C6" s="19">
        <f t="shared" ref="C6:C15" si="1">B6-$B$17</f>
        <v>-15</v>
      </c>
      <c r="D6" s="19">
        <f t="shared" ref="D6:D15" si="2">ABS(C6)</f>
        <v>15</v>
      </c>
      <c r="E6" s="19">
        <f t="shared" ref="E6:E15" si="3">C6^2</f>
        <v>225</v>
      </c>
    </row>
    <row r="7">
      <c r="A7" s="9">
        <v>2.0</v>
      </c>
      <c r="B7" s="9">
        <v>22.0</v>
      </c>
      <c r="C7" s="19">
        <f t="shared" si="1"/>
        <v>-11</v>
      </c>
      <c r="D7" s="19">
        <f t="shared" si="2"/>
        <v>11</v>
      </c>
      <c r="E7" s="19">
        <f t="shared" si="3"/>
        <v>121</v>
      </c>
    </row>
    <row r="8">
      <c r="A8" s="9">
        <v>3.0</v>
      </c>
      <c r="B8" s="9">
        <v>25.0</v>
      </c>
      <c r="C8" s="19">
        <f t="shared" si="1"/>
        <v>-8</v>
      </c>
      <c r="D8" s="19">
        <f t="shared" si="2"/>
        <v>8</v>
      </c>
      <c r="E8" s="19">
        <f t="shared" si="3"/>
        <v>64</v>
      </c>
    </row>
    <row r="9">
      <c r="A9" s="9">
        <v>4.0</v>
      </c>
      <c r="B9" s="9">
        <v>42.0</v>
      </c>
      <c r="C9" s="19">
        <f t="shared" si="1"/>
        <v>9</v>
      </c>
      <c r="D9" s="19">
        <f t="shared" si="2"/>
        <v>9</v>
      </c>
      <c r="E9" s="19">
        <f t="shared" si="3"/>
        <v>81</v>
      </c>
    </row>
    <row r="10">
      <c r="A10" s="9">
        <v>5.0</v>
      </c>
      <c r="B10" s="9">
        <v>28.0</v>
      </c>
      <c r="C10" s="19">
        <f t="shared" si="1"/>
        <v>-5</v>
      </c>
      <c r="D10" s="19">
        <f t="shared" si="2"/>
        <v>5</v>
      </c>
      <c r="E10" s="19">
        <f t="shared" si="3"/>
        <v>25</v>
      </c>
    </row>
    <row r="11">
      <c r="A11" s="9">
        <v>6.0</v>
      </c>
      <c r="B11" s="9">
        <v>43.0</v>
      </c>
      <c r="C11" s="19">
        <f t="shared" si="1"/>
        <v>10</v>
      </c>
      <c r="D11" s="19">
        <f t="shared" si="2"/>
        <v>10</v>
      </c>
      <c r="E11" s="19">
        <f t="shared" si="3"/>
        <v>100</v>
      </c>
    </row>
    <row r="12">
      <c r="A12" s="9">
        <v>7.0</v>
      </c>
      <c r="B12" s="9">
        <v>33.0</v>
      </c>
      <c r="C12" s="19">
        <f t="shared" si="1"/>
        <v>0</v>
      </c>
      <c r="D12" s="19">
        <f t="shared" si="2"/>
        <v>0</v>
      </c>
      <c r="E12" s="19">
        <f t="shared" si="3"/>
        <v>0</v>
      </c>
    </row>
    <row r="13">
      <c r="A13" s="9">
        <v>8.0</v>
      </c>
      <c r="B13" s="9">
        <v>35.0</v>
      </c>
      <c r="C13" s="19">
        <f t="shared" si="1"/>
        <v>2</v>
      </c>
      <c r="D13" s="19">
        <f t="shared" si="2"/>
        <v>2</v>
      </c>
      <c r="E13" s="19">
        <f t="shared" si="3"/>
        <v>4</v>
      </c>
    </row>
    <row r="14">
      <c r="A14" s="9">
        <v>9.0</v>
      </c>
      <c r="B14" s="9">
        <v>56.0</v>
      </c>
      <c r="C14" s="19">
        <f t="shared" si="1"/>
        <v>23</v>
      </c>
      <c r="D14" s="19">
        <f t="shared" si="2"/>
        <v>23</v>
      </c>
      <c r="E14" s="19">
        <f t="shared" si="3"/>
        <v>529</v>
      </c>
    </row>
    <row r="15">
      <c r="A15" s="9">
        <v>10.0</v>
      </c>
      <c r="B15" s="9">
        <v>28.0</v>
      </c>
      <c r="C15" s="19">
        <f t="shared" si="1"/>
        <v>-5</v>
      </c>
      <c r="D15" s="19">
        <f t="shared" si="2"/>
        <v>5</v>
      </c>
      <c r="E15" s="19">
        <f t="shared" si="3"/>
        <v>25</v>
      </c>
    </row>
    <row r="16">
      <c r="A16" s="7" t="s">
        <v>62</v>
      </c>
      <c r="B16" s="10">
        <f>COUNT(B6:B15)</f>
        <v>10</v>
      </c>
    </row>
    <row r="17">
      <c r="A17" s="7" t="s">
        <v>46</v>
      </c>
      <c r="B17" s="12">
        <f>AVERAGE(B6:B15)</f>
        <v>33</v>
      </c>
    </row>
    <row r="19">
      <c r="A19" s="7" t="s">
        <v>63</v>
      </c>
      <c r="B19" s="12">
        <f>SUM(D6:D15)</f>
        <v>88</v>
      </c>
    </row>
    <row r="20">
      <c r="A20" s="7" t="s">
        <v>64</v>
      </c>
      <c r="B20" s="12">
        <f>B19/B16</f>
        <v>8.8</v>
      </c>
    </row>
    <row r="21" ht="15.75" customHeight="1"/>
    <row r="22" ht="15.75" customHeight="1">
      <c r="A22" s="7" t="s">
        <v>65</v>
      </c>
      <c r="B22" s="12">
        <f>SUM(E6:E15)</f>
        <v>1174</v>
      </c>
    </row>
    <row r="23" ht="15.75" customHeight="1">
      <c r="A23" s="7" t="s">
        <v>66</v>
      </c>
      <c r="B23" s="12">
        <f>B22/B16</f>
        <v>117.4</v>
      </c>
    </row>
    <row r="24" ht="15.75" customHeight="1">
      <c r="A24" s="7" t="s">
        <v>67</v>
      </c>
      <c r="B24" s="21">
        <f>SQRT(B23)</f>
        <v>10.83512806</v>
      </c>
    </row>
    <row r="25" ht="15.75" customHeight="1"/>
    <row r="26" ht="15.75" customHeight="1">
      <c r="A26" s="15" t="s">
        <v>68</v>
      </c>
    </row>
    <row r="27" ht="15.75" customHeight="1">
      <c r="A27" s="6" t="s">
        <v>57</v>
      </c>
      <c r="B27" s="6" t="s">
        <v>58</v>
      </c>
      <c r="C27" s="6" t="s">
        <v>59</v>
      </c>
      <c r="D27" s="6" t="s">
        <v>69</v>
      </c>
      <c r="E27" s="6" t="s">
        <v>70</v>
      </c>
    </row>
    <row r="28" ht="15.75" customHeight="1">
      <c r="A28" s="9">
        <v>1.0</v>
      </c>
      <c r="B28" s="9">
        <f t="shared" ref="B28:C28" si="4">B6</f>
        <v>18</v>
      </c>
      <c r="C28" s="19">
        <f t="shared" si="4"/>
        <v>-15</v>
      </c>
      <c r="D28" s="13">
        <f t="shared" ref="D28:D31" si="6">$B$24</f>
        <v>10.83512806</v>
      </c>
      <c r="E28" s="21">
        <f t="shared" ref="E28:E31" si="7">C28/D28</f>
        <v>-1.384386038</v>
      </c>
    </row>
    <row r="29" ht="15.75" customHeight="1">
      <c r="A29" s="9">
        <v>2.0</v>
      </c>
      <c r="B29" s="9">
        <f t="shared" ref="B29:C29" si="5">B7</f>
        <v>22</v>
      </c>
      <c r="C29" s="19">
        <f t="shared" si="5"/>
        <v>-11</v>
      </c>
      <c r="D29" s="13">
        <f t="shared" si="6"/>
        <v>10.83512806</v>
      </c>
      <c r="E29" s="21">
        <f t="shared" si="7"/>
        <v>-1.015216428</v>
      </c>
    </row>
    <row r="30" ht="15.75" customHeight="1">
      <c r="A30" s="9">
        <v>3.0</v>
      </c>
      <c r="B30" s="9">
        <f t="shared" ref="B30:C30" si="8">B8</f>
        <v>25</v>
      </c>
      <c r="C30" s="19">
        <f t="shared" si="8"/>
        <v>-8</v>
      </c>
      <c r="D30" s="13">
        <f t="shared" si="6"/>
        <v>10.83512806</v>
      </c>
      <c r="E30" s="21">
        <f t="shared" si="7"/>
        <v>-0.7383392202</v>
      </c>
    </row>
    <row r="31" ht="15.75" customHeight="1">
      <c r="A31" s="9">
        <v>4.0</v>
      </c>
      <c r="B31" s="9">
        <f t="shared" ref="B31:C31" si="9">B9</f>
        <v>42</v>
      </c>
      <c r="C31" s="19">
        <f t="shared" si="9"/>
        <v>9</v>
      </c>
      <c r="D31" s="13">
        <f t="shared" si="6"/>
        <v>10.83512806</v>
      </c>
      <c r="E31" s="21">
        <f t="shared" si="7"/>
        <v>0.8306316227</v>
      </c>
    </row>
    <row r="32" ht="15.75" customHeight="1"/>
    <row r="33" ht="21.75" customHeight="1">
      <c r="A33" s="24" t="s">
        <v>71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6:E26"/>
    <mergeCell ref="A33:E33"/>
  </mergeCells>
  <printOptions/>
  <pageMargins bottom="1.0" footer="0.0" header="0.0" left="0.75" right="0.75" top="1.0"/>
  <pageSetup paperSize="9" orientation="portrait"/>
  <drawing r:id="rId1"/>
</worksheet>
</file>